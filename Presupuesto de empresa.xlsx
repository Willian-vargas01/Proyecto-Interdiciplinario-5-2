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<sst xmlns="http://schemas.openxmlformats.org/spreadsheetml/2006/main" count="87" uniqueCount="52">
  <si>
    <t>Categoría</t>
  </si>
  <si>
    <t>Ítem / Descripción</t>
  </si>
  <si>
    <t>Cantidad</t>
  </si>
  <si>
    <t>Unidades / Periodo</t>
  </si>
  <si>
    <t>Costo Unitario (USD)</t>
  </si>
  <si>
    <t>Costo Total (USD)</t>
  </si>
  <si>
    <t>% del Total</t>
  </si>
  <si>
    <t>1. Hardware y Dispositivos</t>
  </si>
  <si>
    <t>Computadoras de Escritorio (Workstations)</t>
  </si>
  <si>
    <t>Unidades</t>
  </si>
  <si>
    <t>Teléfonos IP Corporativos</t>
  </si>
  <si>
    <t>Impresoras de Red Multifunción</t>
  </si>
  <si>
    <t>Plotter de Impresión Técnica</t>
  </si>
  <si>
    <t>Unidad</t>
  </si>
  <si>
    <t>Impresoras 3D Industriales / Prototipado</t>
  </si>
  <si>
    <t>Cámaras IP de Videovigilancia y Control</t>
  </si>
  <si>
    <t>2. Redes y Data Center</t>
  </si>
  <si>
    <t>Cluster de Servidores Enterprise (ESXi) + SAN Storage</t>
  </si>
  <si>
    <t>Servidores + Storage</t>
  </si>
  <si>
    <t>Switches PoE+ (48 puertos) Cisco/Enterprise</t>
  </si>
  <si>
    <t>Routers Core Firewalls y Controladores Wireless</t>
  </si>
  <si>
    <t>Cableado Estructurado Cat6A Racks 42U y Patch Panels</t>
  </si>
  <si>
    <t>Departamentos</t>
  </si>
  <si>
    <t>Sistemas de Alimentación Ininterrumpida (UPS Industrial)</t>
  </si>
  <si>
    <t>Sistema Integrado</t>
  </si>
  <si>
    <t>3. Software y Licencias</t>
  </si>
  <si>
    <t>Licencias VMware Bases de Datos Oracle/MySQL Enterprise</t>
  </si>
  <si>
    <t>Paquete Anual</t>
  </si>
  <si>
    <t>Servicios Cloud Hosting CI/CD y Herramientas Jira/Trello</t>
  </si>
  <si>
    <t>Meses</t>
  </si>
  <si>
    <t>4. Mano de Obra</t>
  </si>
  <si>
    <t>Project Manager / Scrum Master Senior</t>
  </si>
  <si>
    <t>Arquitecto de Software / Tech Lead (Java / React / BD)</t>
  </si>
  <si>
    <t>Desarrolladores Backend (4 personas x 12 meses)</t>
  </si>
  <si>
    <t>Meses-Hombre</t>
  </si>
  <si>
    <t>Desarrolladores Frontend (3 personas x 12 meses)</t>
  </si>
  <si>
    <t>Especialista en Bases de Datos (DBA)</t>
  </si>
  <si>
    <t>Ingenieros de Redes y Seguridad (2 personas x 12 meses)</t>
  </si>
  <si>
    <t>Ingenieros de Control de Calidad (QA) (2 personas x 12 meses)</t>
  </si>
  <si>
    <t>Técnicos de Despliegue e Instalación (4 personas x 6 meses)</t>
  </si>
  <si>
    <t>5. Alquiler e Infraestructura</t>
  </si>
  <si>
    <t>Alquiler de Instalaciones / Nave Industrial (6.000 m²)</t>
  </si>
  <si>
    <t>Adecuación Eléctrica Trifásica HVAC y Data Center</t>
  </si>
  <si>
    <t>Obra Civil</t>
  </si>
  <si>
    <t>Mobiliario Operativo (Puestos de Trabajo)</t>
  </si>
  <si>
    <t>Puestos</t>
  </si>
  <si>
    <t>Servicios (Energía de alta demanda Fibra óptica Agua)</t>
  </si>
  <si>
    <t>6. Reserva Operativa</t>
  </si>
  <si>
    <t>Fondo de Contingencias e Imprevistos</t>
  </si>
  <si>
    <t>Fondo Global</t>
  </si>
  <si>
    <t>TOTAL GENERAL</t>
  </si>
  <si>
    <t>PRESUPUESTO CONSOLIDADO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</si>
</sst>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4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b/>
      <color rgb="FF16304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5E3F7"/>
        <bgColor rgb="FFD5E3F7"/>
      </patternFill>
    </fill>
  </fills>
  <borders count="2">
    <border/>
    <border>
      <top style="thin">
        <color rgb="FF1F4E78"/>
      </top>
      <bottom style="double">
        <color rgb="FF1F4E78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right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0" xfId="0" applyAlignment="1" applyFont="1" applyNumberFormat="1">
      <alignment horizontal="right"/>
    </xf>
    <xf borderId="1" fillId="3" fontId="3" numFmtId="0" xfId="0" applyAlignment="1" applyBorder="1" applyFill="1" applyFont="1">
      <alignment readingOrder="0"/>
    </xf>
    <xf borderId="1" fillId="3" fontId="3" numFmtId="0" xfId="0" applyBorder="1" applyFill="1" applyFont="1"/>
    <xf borderId="1" fillId="3" fontId="3" numFmtId="164" xfId="0" applyAlignment="1" applyBorder="1" applyFill="1" applyFont="1" applyNumberFormat="1">
      <alignment horizontal="right"/>
    </xf>
    <xf borderId="1" fillId="3" fontId="3" numFmtId="10" xfId="0" applyAlignment="1" applyBorder="1" applyFill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F4E78"/>
          <bgColor rgb="FF1F4E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F7FA"/>
          <bgColor rgb="FFF4F7FA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7" displayName="Table_1" name="Table_1" id="1">
  <tableColumns count="7">
    <tableColumn name="Categoría" id="1"/>
    <tableColumn name="Ítem / Descripción" id="2"/>
    <tableColumn name="Cantidad" id="3"/>
    <tableColumn name="Unidades / Periodo" id="4"/>
    <tableColumn name="Costo Unitario (USD)" id="5"/>
    <tableColumn name="Costo Total (USD)" id="6"/>
    <tableColumn name="% del Total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50.13"/>
    <col customWidth="1" min="3" max="3" width="11.38"/>
    <col customWidth="1" min="4" max="4" width="21.38"/>
    <col customWidth="1" min="5" max="6" width="20.13"/>
    <col customWidth="1" min="7" max="7" width="13.88"/>
  </cols>
  <sheetData>
    <row r="1" ht="28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>
      <c r="A2" s="4" t="s">
        <v>7</v>
      </c>
      <c r="B2" s="4" t="s">
        <v>8</v>
      </c>
      <c r="C2" s="5">
        <v>1110.0</v>
      </c>
      <c r="D2" s="6" t="s">
        <v>9</v>
      </c>
      <c r="E2" s="7">
        <v>1000.0</v>
      </c>
      <c r="F2" s="8">
        <f t="shared" ref="F2:F27" si="1">C2*E2</f>
        <v>1110000</v>
      </c>
      <c r="G2" s="9">
        <f t="shared" ref="G2:G27" si="2">F2/$F$28</f>
        <v>0.2774999945</v>
      </c>
    </row>
    <row r="3">
      <c r="A3" s="4" t="s">
        <v>7</v>
      </c>
      <c r="B3" s="4" t="s">
        <v>10</v>
      </c>
      <c r="C3" s="5">
        <v>1110.0</v>
      </c>
      <c r="D3" s="6" t="s">
        <v>9</v>
      </c>
      <c r="E3" s="7">
        <v>100.0</v>
      </c>
      <c r="F3" s="8">
        <f t="shared" si="1"/>
        <v>111000</v>
      </c>
      <c r="G3" s="9">
        <f t="shared" si="2"/>
        <v>0.02774999945</v>
      </c>
    </row>
    <row r="4">
      <c r="A4" s="4" t="s">
        <v>7</v>
      </c>
      <c r="B4" s="4" t="s">
        <v>11</v>
      </c>
      <c r="C4" s="5">
        <v>30.0</v>
      </c>
      <c r="D4" s="6" t="s">
        <v>9</v>
      </c>
      <c r="E4" s="7">
        <v>1200.0</v>
      </c>
      <c r="F4" s="8">
        <f t="shared" si="1"/>
        <v>36000</v>
      </c>
      <c r="G4" s="9">
        <f t="shared" si="2"/>
        <v>0.00899999982</v>
      </c>
    </row>
    <row r="5">
      <c r="A5" s="4" t="s">
        <v>7</v>
      </c>
      <c r="B5" s="4" t="s">
        <v>12</v>
      </c>
      <c r="C5" s="5">
        <v>1.0</v>
      </c>
      <c r="D5" s="6" t="s">
        <v>13</v>
      </c>
      <c r="E5" s="7">
        <v>5000.0</v>
      </c>
      <c r="F5" s="8">
        <f t="shared" si="1"/>
        <v>5000</v>
      </c>
      <c r="G5" s="9">
        <f t="shared" si="2"/>
        <v>0.001249999975</v>
      </c>
    </row>
    <row r="6">
      <c r="A6" s="4" t="s">
        <v>7</v>
      </c>
      <c r="B6" s="4" t="s">
        <v>14</v>
      </c>
      <c r="C6" s="5">
        <v>39.0</v>
      </c>
      <c r="D6" s="6" t="s">
        <v>9</v>
      </c>
      <c r="E6" s="7">
        <v>1500.0</v>
      </c>
      <c r="F6" s="8">
        <f t="shared" si="1"/>
        <v>58500</v>
      </c>
      <c r="G6" s="9">
        <f t="shared" si="2"/>
        <v>0.01462499971</v>
      </c>
    </row>
    <row r="7">
      <c r="A7" s="4" t="s">
        <v>7</v>
      </c>
      <c r="B7" s="4" t="s">
        <v>15</v>
      </c>
      <c r="C7" s="5">
        <v>60.0</v>
      </c>
      <c r="D7" s="6" t="s">
        <v>9</v>
      </c>
      <c r="E7" s="7">
        <v>250.0</v>
      </c>
      <c r="F7" s="8">
        <f t="shared" si="1"/>
        <v>15000</v>
      </c>
      <c r="G7" s="9">
        <f t="shared" si="2"/>
        <v>0.003749999925</v>
      </c>
    </row>
    <row r="8">
      <c r="A8" s="4" t="s">
        <v>16</v>
      </c>
      <c r="B8" s="4" t="s">
        <v>17</v>
      </c>
      <c r="C8" s="5">
        <v>3.0</v>
      </c>
      <c r="D8" s="6" t="s">
        <v>18</v>
      </c>
      <c r="E8" s="7">
        <v>40000.0</v>
      </c>
      <c r="F8" s="8">
        <f t="shared" si="1"/>
        <v>120000</v>
      </c>
      <c r="G8" s="9">
        <f t="shared" si="2"/>
        <v>0.0299999994</v>
      </c>
    </row>
    <row r="9">
      <c r="A9" s="4" t="s">
        <v>16</v>
      </c>
      <c r="B9" s="4" t="s">
        <v>19</v>
      </c>
      <c r="C9" s="5">
        <v>28.0</v>
      </c>
      <c r="D9" s="6" t="s">
        <v>9</v>
      </c>
      <c r="E9" s="7">
        <v>3500.0</v>
      </c>
      <c r="F9" s="8">
        <f t="shared" si="1"/>
        <v>98000</v>
      </c>
      <c r="G9" s="9">
        <f t="shared" si="2"/>
        <v>0.02449999951</v>
      </c>
    </row>
    <row r="10">
      <c r="A10" s="4" t="s">
        <v>16</v>
      </c>
      <c r="B10" s="4" t="s">
        <v>20</v>
      </c>
      <c r="C10" s="5">
        <v>4.0</v>
      </c>
      <c r="D10" s="6" t="s">
        <v>9</v>
      </c>
      <c r="E10" s="7">
        <v>10500.0</v>
      </c>
      <c r="F10" s="8">
        <f t="shared" si="1"/>
        <v>42000</v>
      </c>
      <c r="G10" s="9">
        <f t="shared" si="2"/>
        <v>0.01049999979</v>
      </c>
    </row>
    <row r="11">
      <c r="A11" s="4" t="s">
        <v>16</v>
      </c>
      <c r="B11" s="4" t="s">
        <v>21</v>
      </c>
      <c r="C11" s="5">
        <v>20.0</v>
      </c>
      <c r="D11" s="6" t="s">
        <v>22</v>
      </c>
      <c r="E11" s="7">
        <v>9000.0</v>
      </c>
      <c r="F11" s="8">
        <f t="shared" si="1"/>
        <v>180000</v>
      </c>
      <c r="G11" s="9">
        <f t="shared" si="2"/>
        <v>0.0449999991</v>
      </c>
    </row>
    <row r="12">
      <c r="A12" s="4" t="s">
        <v>16</v>
      </c>
      <c r="B12" s="4" t="s">
        <v>23</v>
      </c>
      <c r="C12" s="5">
        <v>1.0</v>
      </c>
      <c r="D12" s="6" t="s">
        <v>24</v>
      </c>
      <c r="E12" s="7">
        <v>65000.0</v>
      </c>
      <c r="F12" s="8">
        <f t="shared" si="1"/>
        <v>65000</v>
      </c>
      <c r="G12" s="9">
        <f t="shared" si="2"/>
        <v>0.01624999968</v>
      </c>
    </row>
    <row r="13">
      <c r="A13" s="4" t="s">
        <v>25</v>
      </c>
      <c r="B13" s="4" t="s">
        <v>26</v>
      </c>
      <c r="C13" s="5">
        <v>1.0</v>
      </c>
      <c r="D13" s="6" t="s">
        <v>27</v>
      </c>
      <c r="E13" s="7">
        <v>75000.0</v>
      </c>
      <c r="F13" s="8">
        <f t="shared" si="1"/>
        <v>75000</v>
      </c>
      <c r="G13" s="9">
        <f t="shared" si="2"/>
        <v>0.01874999963</v>
      </c>
    </row>
    <row r="14">
      <c r="A14" s="4" t="s">
        <v>25</v>
      </c>
      <c r="B14" s="4" t="s">
        <v>28</v>
      </c>
      <c r="C14" s="5">
        <v>12.0</v>
      </c>
      <c r="D14" s="6" t="s">
        <v>29</v>
      </c>
      <c r="E14" s="7">
        <v>2916.67</v>
      </c>
      <c r="F14" s="8">
        <f t="shared" si="1"/>
        <v>35000.04</v>
      </c>
      <c r="G14" s="9">
        <f t="shared" si="2"/>
        <v>0.008750009825</v>
      </c>
    </row>
    <row r="15">
      <c r="A15" s="4" t="s">
        <v>30</v>
      </c>
      <c r="B15" s="4" t="s">
        <v>31</v>
      </c>
      <c r="C15" s="5">
        <v>12.0</v>
      </c>
      <c r="D15" s="6" t="s">
        <v>29</v>
      </c>
      <c r="E15" s="7">
        <v>5000.0</v>
      </c>
      <c r="F15" s="8">
        <f t="shared" si="1"/>
        <v>60000</v>
      </c>
      <c r="G15" s="9">
        <f t="shared" si="2"/>
        <v>0.0149999997</v>
      </c>
    </row>
    <row r="16">
      <c r="A16" s="4" t="s">
        <v>30</v>
      </c>
      <c r="B16" s="4" t="s">
        <v>32</v>
      </c>
      <c r="C16" s="5">
        <v>12.0</v>
      </c>
      <c r="D16" s="6" t="s">
        <v>29</v>
      </c>
      <c r="E16" s="7">
        <v>6000.0</v>
      </c>
      <c r="F16" s="8">
        <f t="shared" si="1"/>
        <v>72000</v>
      </c>
      <c r="G16" s="9">
        <f t="shared" si="2"/>
        <v>0.01799999964</v>
      </c>
    </row>
    <row r="17">
      <c r="A17" s="4" t="s">
        <v>30</v>
      </c>
      <c r="B17" s="4" t="s">
        <v>33</v>
      </c>
      <c r="C17" s="5">
        <v>48.0</v>
      </c>
      <c r="D17" s="6" t="s">
        <v>34</v>
      </c>
      <c r="E17" s="7">
        <v>4000.0</v>
      </c>
      <c r="F17" s="8">
        <f t="shared" si="1"/>
        <v>192000</v>
      </c>
      <c r="G17" s="9">
        <f t="shared" si="2"/>
        <v>0.04799999904</v>
      </c>
    </row>
    <row r="18">
      <c r="A18" s="4" t="s">
        <v>30</v>
      </c>
      <c r="B18" s="4" t="s">
        <v>35</v>
      </c>
      <c r="C18" s="5">
        <v>36.0</v>
      </c>
      <c r="D18" s="6" t="s">
        <v>34</v>
      </c>
      <c r="E18" s="7">
        <v>3800.0</v>
      </c>
      <c r="F18" s="8">
        <f t="shared" si="1"/>
        <v>136800</v>
      </c>
      <c r="G18" s="9">
        <f t="shared" si="2"/>
        <v>0.03419999932</v>
      </c>
    </row>
    <row r="19">
      <c r="A19" s="4" t="s">
        <v>30</v>
      </c>
      <c r="B19" s="4" t="s">
        <v>36</v>
      </c>
      <c r="C19" s="5">
        <v>12.0</v>
      </c>
      <c r="D19" s="6" t="s">
        <v>29</v>
      </c>
      <c r="E19" s="7">
        <v>4500.0</v>
      </c>
      <c r="F19" s="8">
        <f t="shared" si="1"/>
        <v>54000</v>
      </c>
      <c r="G19" s="9">
        <f t="shared" si="2"/>
        <v>0.01349999973</v>
      </c>
    </row>
    <row r="20">
      <c r="A20" s="4" t="s">
        <v>30</v>
      </c>
      <c r="B20" s="4" t="s">
        <v>37</v>
      </c>
      <c r="C20" s="5">
        <v>24.0</v>
      </c>
      <c r="D20" s="6" t="s">
        <v>34</v>
      </c>
      <c r="E20" s="7">
        <v>4000.0</v>
      </c>
      <c r="F20" s="8">
        <f t="shared" si="1"/>
        <v>96000</v>
      </c>
      <c r="G20" s="9">
        <f t="shared" si="2"/>
        <v>0.02399999952</v>
      </c>
    </row>
    <row r="21">
      <c r="A21" s="4" t="s">
        <v>30</v>
      </c>
      <c r="B21" s="4" t="s">
        <v>38</v>
      </c>
      <c r="C21" s="5">
        <v>24.0</v>
      </c>
      <c r="D21" s="6" t="s">
        <v>34</v>
      </c>
      <c r="E21" s="7">
        <v>3000.0</v>
      </c>
      <c r="F21" s="8">
        <f t="shared" si="1"/>
        <v>72000</v>
      </c>
      <c r="G21" s="9">
        <f t="shared" si="2"/>
        <v>0.01799999964</v>
      </c>
    </row>
    <row r="22">
      <c r="A22" s="4" t="s">
        <v>30</v>
      </c>
      <c r="B22" s="4" t="s">
        <v>39</v>
      </c>
      <c r="C22" s="5">
        <v>24.0</v>
      </c>
      <c r="D22" s="6" t="s">
        <v>34</v>
      </c>
      <c r="E22" s="7">
        <v>2500.0</v>
      </c>
      <c r="F22" s="8">
        <f t="shared" si="1"/>
        <v>60000</v>
      </c>
      <c r="G22" s="9">
        <f t="shared" si="2"/>
        <v>0.0149999997</v>
      </c>
    </row>
    <row r="23">
      <c r="A23" s="4" t="s">
        <v>40</v>
      </c>
      <c r="B23" s="4" t="s">
        <v>41</v>
      </c>
      <c r="C23" s="5">
        <v>12.0</v>
      </c>
      <c r="D23" s="6" t="s">
        <v>29</v>
      </c>
      <c r="E23" s="7">
        <v>48000.0</v>
      </c>
      <c r="F23" s="8">
        <f t="shared" si="1"/>
        <v>576000</v>
      </c>
      <c r="G23" s="9">
        <f t="shared" si="2"/>
        <v>0.1439999971</v>
      </c>
    </row>
    <row r="24">
      <c r="A24" s="4" t="s">
        <v>40</v>
      </c>
      <c r="B24" s="4" t="s">
        <v>42</v>
      </c>
      <c r="C24" s="5">
        <v>1.0</v>
      </c>
      <c r="D24" s="6" t="s">
        <v>43</v>
      </c>
      <c r="E24" s="7">
        <v>220000.0</v>
      </c>
      <c r="F24" s="8">
        <f t="shared" si="1"/>
        <v>220000</v>
      </c>
      <c r="G24" s="9">
        <f t="shared" si="2"/>
        <v>0.0549999989</v>
      </c>
    </row>
    <row r="25">
      <c r="A25" s="4" t="s">
        <v>40</v>
      </c>
      <c r="B25" s="4" t="s">
        <v>44</v>
      </c>
      <c r="C25" s="5">
        <v>1110.0</v>
      </c>
      <c r="D25" s="6" t="s">
        <v>45</v>
      </c>
      <c r="E25" s="7">
        <v>300.0</v>
      </c>
      <c r="F25" s="8">
        <f t="shared" si="1"/>
        <v>333000</v>
      </c>
      <c r="G25" s="9">
        <f t="shared" si="2"/>
        <v>0.08324999834</v>
      </c>
    </row>
    <row r="26">
      <c r="A26" s="4" t="s">
        <v>40</v>
      </c>
      <c r="B26" s="4" t="s">
        <v>46</v>
      </c>
      <c r="C26" s="5">
        <v>12.0</v>
      </c>
      <c r="D26" s="6" t="s">
        <v>29</v>
      </c>
      <c r="E26" s="7">
        <v>6666.67</v>
      </c>
      <c r="F26" s="8">
        <f t="shared" si="1"/>
        <v>80000.04</v>
      </c>
      <c r="G26" s="9">
        <f t="shared" si="2"/>
        <v>0.0200000096</v>
      </c>
    </row>
    <row r="27">
      <c r="A27" s="4" t="s">
        <v>47</v>
      </c>
      <c r="B27" s="4" t="s">
        <v>48</v>
      </c>
      <c r="C27" s="5">
        <v>1.0</v>
      </c>
      <c r="D27" s="6" t="s">
        <v>49</v>
      </c>
      <c r="E27" s="7">
        <v>97700.0</v>
      </c>
      <c r="F27" s="8">
        <f t="shared" si="1"/>
        <v>97700</v>
      </c>
      <c r="G27" s="9">
        <f t="shared" si="2"/>
        <v>0.02442499951</v>
      </c>
    </row>
    <row r="28">
      <c r="A28" s="10" t="s">
        <v>50</v>
      </c>
      <c r="B28" s="10" t="s">
        <v>51</v>
      </c>
      <c r="C28" s="11"/>
      <c r="D28" s="11"/>
      <c r="E28" s="12"/>
      <c r="F28" s="12">
        <f t="shared" ref="F28:G28" si="3">SUM(F2:F27)</f>
        <v>4000000.08</v>
      </c>
      <c r="G28" s="13">
        <f t="shared" si="3"/>
        <v>1</v>
      </c>
    </row>
  </sheetData>
  <drawing r:id="rId1"/>
  <tableParts count="1">
    <tablePart r:id="rId3"/>
  </tableParts>
</worksheet>
</file>